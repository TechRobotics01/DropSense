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esktop\MISSION FALLOUT\DropSense\Dropsense_V1\"/>
    </mc:Choice>
  </mc:AlternateContent>
  <xr:revisionPtr revIDLastSave="0" documentId="13_ncr:1_{5CEBF98D-F787-4E5B-A58C-8D753F53E3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" i="1" l="1"/>
  <c r="E20" i="1"/>
</calcChain>
</file>

<file path=xl/sharedStrings.xml><?xml version="1.0" encoding="utf-8"?>
<sst xmlns="http://schemas.openxmlformats.org/spreadsheetml/2006/main" count="54" uniqueCount="52">
  <si>
    <t>Component</t>
  </si>
  <si>
    <t>Quantity needed</t>
  </si>
  <si>
    <t xml:space="preserve">Quantity purchased </t>
  </si>
  <si>
    <t xml:space="preserve">Product link </t>
  </si>
  <si>
    <t>https://www.lcsc.com/product-detail/C49678.html</t>
  </si>
  <si>
    <t>https://www.lcsc.com/product-detail/C440198.html</t>
  </si>
  <si>
    <t>https://www.lcsc.com/product-detail/C141660.html</t>
  </si>
  <si>
    <t>https://www.lcsc.com/product-detail/C143774.html</t>
  </si>
  <si>
    <t>https://www.lcsc.com/product-detail/C84260.html</t>
  </si>
  <si>
    <t>https://www.lcsc.com/product-detail/C19171391.html</t>
  </si>
  <si>
    <t>https://www.lcsc.com/product-detail/C53121380.html</t>
  </si>
  <si>
    <t>https://www.lcsc.com/product-detail/C158012.html</t>
  </si>
  <si>
    <t>https://www.lcsc.com/product-detail/C17630.html</t>
  </si>
  <si>
    <t>https://www.lcsc.com/product-detail/C2933356.html</t>
  </si>
  <si>
    <t>https://www.lcsc.com/product-detail/C2933459.html</t>
  </si>
  <si>
    <t>https://www.lcsc.com/product-detail/C96347.html</t>
  </si>
  <si>
    <t>https://www.lcsc.com/product-detail/C114218.html</t>
  </si>
  <si>
    <t>https://www.lcsc.com/product-detail/C24112.html</t>
  </si>
  <si>
    <t>https://www.lcsc.com/product-detail/C2913197.html</t>
  </si>
  <si>
    <t>https://www.lcsc.com/product-detail/C16581.html</t>
  </si>
  <si>
    <t>https://www.lcsc.com/product-detail/C82942.html</t>
  </si>
  <si>
    <t>100nF ±10% 50V Ceramic Capacitor X7R 0805</t>
  </si>
  <si>
    <t>10uF ±10% 50V Ceramic Capacitor X5R 0805</t>
  </si>
  <si>
    <t>100uF ±20% 6.3V Ceramic Capacitor X5R 0805</t>
  </si>
  <si>
    <t>Diode 40V 500mA Surface Mount 0805</t>
  </si>
  <si>
    <t>Green 520nm LED Indication - Discrete 2.5V~3.6V 0805</t>
  </si>
  <si>
    <t>Red 645nm LED Indication - Discrete 1.8V~2.4V 0805</t>
  </si>
  <si>
    <t>SMD USB, DVI, HDMI Connector Adapters RoHS</t>
  </si>
  <si>
    <t>Connector Header 2 position 2.5mm Pitch 3A Through Hole -25℃~+85℃</t>
  </si>
  <si>
    <t>330Ω ±1% 125mW 0805 Thick Film Resistor</t>
  </si>
  <si>
    <t>1.2Ω ±1% 125mW 0805 Thick Film Resistor</t>
  </si>
  <si>
    <t>4.7Ω ±1% 125mW 0805 Thick Film Resistor</t>
  </si>
  <si>
    <t>10Ω 125mW 150V Thick Film Resistor ±1% ±200ppm/℃ 0805 Chip Resistor - Surface Mount RoHS</t>
  </si>
  <si>
    <t>Micro SD card (TF card) Connector and Ejector Push-Push Surface Mount</t>
  </si>
  <si>
    <t>QFN-24-EP(4x4) Accelerometers RoHS</t>
  </si>
  <si>
    <t>2.4GHz ESP32-S3 On-board PCB Antenna -103.5dBm SMD,25.5x18mm RF Transceiver Modules and Modems RoHS</t>
  </si>
  <si>
    <t>Lithium Battery 1A ESOP-8 Battery Management RoHS</t>
  </si>
  <si>
    <t>3.3V 6V Positive Fixed SOT-23-5 Voltage Regulators - Linear, Low Drop Out (LDO) Regulators RoHS</t>
  </si>
  <si>
    <t>https://robu.in/product/500mah-pcm-protected-micro-li-po-battery/</t>
  </si>
  <si>
    <t xml:space="preserve">WLY752530 3.7V 500mAh 1S LiPo Battery </t>
  </si>
  <si>
    <t>1uF ±10% 50V Ceramic Capacitor X7R 0805</t>
  </si>
  <si>
    <t>https://www.lcsc.com/product-detail/C28323.html</t>
  </si>
  <si>
    <t xml:space="preserve">1.8inch tft display </t>
  </si>
  <si>
    <t>N/A</t>
  </si>
  <si>
    <t xml:space="preserve">Self sourced </t>
  </si>
  <si>
    <t>LCSC SHIPPING COST (CHEAPEST OPTION UPS)</t>
  </si>
  <si>
    <t>https://order.lioncircuits.com/cart</t>
  </si>
  <si>
    <t>22.4(inc. GST)</t>
  </si>
  <si>
    <t>Unit pricce($)</t>
  </si>
  <si>
    <t>Total cost($)</t>
  </si>
  <si>
    <t>PCBs FABRICATION (from LION CIRCUITS )(sender and reciever both included)</t>
  </si>
  <si>
    <t>TOTAL COST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</si>
</sst>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8"/>
      <color rgb="FF1C1F23"/>
      <name val="Poppins SemiBold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0B8EE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8" fontId="1" fillId="6" borderId="1" xfId="0" applyNumberFormat="1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8" borderId="1" xfId="0" applyFill="1" applyBorder="1"/>
    <xf numFmtId="0" fontId="0" fillId="8" borderId="1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00"/>
      <color rgb="FFFF66FF"/>
      <color rgb="FFD0B8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188262</xdr:colOff>
      <xdr:row>0</xdr:row>
      <xdr:rowOff>0</xdr:rowOff>
    </xdr:from>
    <xdr:to>
      <xdr:col>15</xdr:col>
      <xdr:colOff>845128</xdr:colOff>
      <xdr:row>19</xdr:row>
      <xdr:rowOff>83127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DB5738-12FF-25FF-2227-A38364052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10153" y="0"/>
          <a:ext cx="7057666" cy="3532909"/>
        </a:xfrm>
        <a:prstGeom prst="rect">
          <a:avLst/>
        </a:prstGeom>
      </xdr:spPr>
    </xdr:pic>
    <xdr:clientData/>
  </xdr:twoCellAnchor>
  <xdr:twoCellAnchor editAs="oneCell">
    <xdr:from>
      <xdr:col>16</xdr:col>
      <xdr:colOff>304800</xdr:colOff>
      <xdr:row>2</xdr:row>
      <xdr:rowOff>0</xdr:rowOff>
    </xdr:from>
    <xdr:to>
      <xdr:col>21</xdr:col>
      <xdr:colOff>845127</xdr:colOff>
      <xdr:row>20</xdr:row>
      <xdr:rowOff>20810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D186E0F-C8E6-DE94-AA86-9711DCBD3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594291" y="360218"/>
          <a:ext cx="5874327" cy="32904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B1" zoomScaleNormal="100" workbookViewId="0">
      <selection activeCell="F14" sqref="F14"/>
    </sheetView>
  </sheetViews>
  <sheetFormatPr defaultColWidth="15.5546875" defaultRowHeight="14.4" x14ac:dyDescent="0.3"/>
  <cols>
    <col min="1" max="1" width="99.33203125" customWidth="1"/>
    <col min="2" max="2" width="15.5546875" style="2"/>
    <col min="3" max="3" width="19.21875" style="2" customWidth="1"/>
    <col min="4" max="4" width="15.5546875" style="2"/>
    <col min="5" max="5" width="18.77734375" style="2" customWidth="1"/>
    <col min="6" max="6" width="15.5546875" style="3"/>
  </cols>
  <sheetData>
    <row r="1" spans="1:9" x14ac:dyDescent="0.3">
      <c r="A1" s="6" t="s">
        <v>0</v>
      </c>
      <c r="B1" s="9" t="s">
        <v>1</v>
      </c>
      <c r="C1" s="11" t="s">
        <v>2</v>
      </c>
      <c r="D1" s="13" t="s">
        <v>48</v>
      </c>
      <c r="E1" s="16" t="s">
        <v>49</v>
      </c>
      <c r="F1" s="18" t="s">
        <v>3</v>
      </c>
      <c r="G1" s="19"/>
      <c r="H1" s="19"/>
      <c r="I1" s="19"/>
    </row>
    <row r="2" spans="1:9" x14ac:dyDescent="0.3">
      <c r="A2" s="6" t="s">
        <v>21</v>
      </c>
      <c r="B2" s="9">
        <v>10</v>
      </c>
      <c r="C2" s="12">
        <v>100</v>
      </c>
      <c r="D2" s="14">
        <v>5.1000000000000004E-3</v>
      </c>
      <c r="E2" s="17">
        <v>0.51</v>
      </c>
      <c r="F2" s="18" t="s">
        <v>4</v>
      </c>
      <c r="G2" s="19"/>
      <c r="H2" s="19"/>
      <c r="I2" s="19"/>
    </row>
    <row r="3" spans="1:9" x14ac:dyDescent="0.3">
      <c r="A3" s="6" t="s">
        <v>22</v>
      </c>
      <c r="B3" s="9">
        <v>10</v>
      </c>
      <c r="C3" s="12">
        <v>50</v>
      </c>
      <c r="D3" s="14">
        <v>7.1999999999999995E-2</v>
      </c>
      <c r="E3" s="17">
        <v>3.6</v>
      </c>
      <c r="F3" s="18" t="s">
        <v>5</v>
      </c>
      <c r="G3" s="19"/>
      <c r="H3" s="19"/>
      <c r="I3" s="19"/>
    </row>
    <row r="4" spans="1:9" x14ac:dyDescent="0.3">
      <c r="A4" s="6" t="s">
        <v>23</v>
      </c>
      <c r="B4" s="9">
        <v>10</v>
      </c>
      <c r="C4" s="12">
        <v>20</v>
      </c>
      <c r="D4" s="14">
        <v>0.23680000000000001</v>
      </c>
      <c r="E4" s="17">
        <v>4.74</v>
      </c>
      <c r="F4" s="18" t="s">
        <v>6</v>
      </c>
      <c r="G4" s="19"/>
      <c r="H4" s="19"/>
      <c r="I4" s="19"/>
    </row>
    <row r="5" spans="1:9" ht="16.8" customHeight="1" x14ac:dyDescent="0.3">
      <c r="A5" s="6" t="s">
        <v>24</v>
      </c>
      <c r="B5" s="9">
        <v>10</v>
      </c>
      <c r="C5" s="12">
        <v>10</v>
      </c>
      <c r="D5" s="14">
        <v>0.16489999999999999</v>
      </c>
      <c r="E5" s="17">
        <v>1.65</v>
      </c>
      <c r="F5" s="18" t="s">
        <v>41</v>
      </c>
      <c r="G5" s="19"/>
      <c r="H5" s="19"/>
      <c r="I5" s="19"/>
    </row>
    <row r="6" spans="1:9" x14ac:dyDescent="0.3">
      <c r="A6" s="6" t="s">
        <v>25</v>
      </c>
      <c r="B6" s="9">
        <v>1</v>
      </c>
      <c r="C6" s="12">
        <v>30</v>
      </c>
      <c r="D6" s="14">
        <v>2.1700000000000001E-2</v>
      </c>
      <c r="E6" s="17">
        <v>0.65</v>
      </c>
      <c r="F6" s="18" t="s">
        <v>7</v>
      </c>
      <c r="G6" s="19"/>
      <c r="H6" s="19"/>
      <c r="I6" s="19"/>
    </row>
    <row r="7" spans="1:9" x14ac:dyDescent="0.3">
      <c r="A7" s="6" t="s">
        <v>26</v>
      </c>
      <c r="B7" s="9">
        <v>1</v>
      </c>
      <c r="C7" s="12">
        <v>100</v>
      </c>
      <c r="D7" s="14">
        <v>7.9000000000000008E-3</v>
      </c>
      <c r="E7" s="17">
        <v>0.79</v>
      </c>
      <c r="F7" s="18" t="s">
        <v>8</v>
      </c>
      <c r="G7" s="19"/>
      <c r="H7" s="19"/>
      <c r="I7" s="19"/>
    </row>
    <row r="8" spans="1:9" x14ac:dyDescent="0.3">
      <c r="A8" s="6" t="s">
        <v>27</v>
      </c>
      <c r="B8" s="9">
        <v>1</v>
      </c>
      <c r="C8" s="12">
        <v>10</v>
      </c>
      <c r="D8" s="14">
        <v>8.2799999999999999E-2</v>
      </c>
      <c r="E8" s="17">
        <v>0.83</v>
      </c>
      <c r="F8" s="18" t="s">
        <v>9</v>
      </c>
      <c r="G8" s="19"/>
      <c r="H8" s="19"/>
      <c r="I8" s="19"/>
    </row>
    <row r="9" spans="1:9" x14ac:dyDescent="0.3">
      <c r="A9" s="6" t="s">
        <v>28</v>
      </c>
      <c r="B9" s="9">
        <v>2</v>
      </c>
      <c r="C9" s="12">
        <v>20</v>
      </c>
      <c r="D9" s="14">
        <v>3.73E-2</v>
      </c>
      <c r="E9" s="17">
        <v>0.75</v>
      </c>
      <c r="F9" s="18" t="s">
        <v>10</v>
      </c>
      <c r="G9" s="19"/>
      <c r="H9" s="19"/>
      <c r="I9" s="19"/>
    </row>
    <row r="10" spans="1:9" x14ac:dyDescent="0.3">
      <c r="A10" s="6" t="s">
        <v>29</v>
      </c>
      <c r="B10" s="9">
        <v>2</v>
      </c>
      <c r="C10" s="12">
        <v>100</v>
      </c>
      <c r="D10" s="14">
        <v>2.3E-3</v>
      </c>
      <c r="E10" s="17">
        <v>0.23</v>
      </c>
      <c r="F10" s="18" t="s">
        <v>11</v>
      </c>
      <c r="G10" s="19"/>
      <c r="H10" s="19"/>
      <c r="I10" s="19"/>
    </row>
    <row r="11" spans="1:9" x14ac:dyDescent="0.3">
      <c r="A11" s="6" t="s">
        <v>30</v>
      </c>
      <c r="B11" s="9">
        <v>2</v>
      </c>
      <c r="C11" s="12">
        <v>100</v>
      </c>
      <c r="D11" s="14">
        <v>2.7000000000000001E-3</v>
      </c>
      <c r="E11" s="17">
        <v>0.27</v>
      </c>
      <c r="F11" s="18" t="s">
        <v>12</v>
      </c>
      <c r="G11" s="19"/>
      <c r="H11" s="19"/>
      <c r="I11" s="19"/>
    </row>
    <row r="12" spans="1:9" x14ac:dyDescent="0.3">
      <c r="A12" s="6" t="s">
        <v>31</v>
      </c>
      <c r="B12" s="9">
        <v>1</v>
      </c>
      <c r="C12" s="12">
        <v>100</v>
      </c>
      <c r="D12" s="14">
        <v>2.7000000000000001E-3</v>
      </c>
      <c r="E12" s="17">
        <v>0.27</v>
      </c>
      <c r="F12" s="18" t="s">
        <v>13</v>
      </c>
      <c r="G12" s="19"/>
      <c r="H12" s="19"/>
      <c r="I12" s="19"/>
    </row>
    <row r="13" spans="1:9" x14ac:dyDescent="0.3">
      <c r="A13" s="6" t="s">
        <v>32</v>
      </c>
      <c r="B13" s="9">
        <v>2</v>
      </c>
      <c r="C13" s="12">
        <v>100</v>
      </c>
      <c r="D13" s="14">
        <v>8.0000000000000002E-3</v>
      </c>
      <c r="E13" s="17">
        <v>0.8</v>
      </c>
      <c r="F13" s="18" t="s">
        <v>14</v>
      </c>
      <c r="G13" s="19"/>
      <c r="H13" s="19"/>
      <c r="I13" s="19"/>
    </row>
    <row r="14" spans="1:9" x14ac:dyDescent="0.3">
      <c r="A14" s="6" t="s">
        <v>33</v>
      </c>
      <c r="B14" s="9">
        <v>2</v>
      </c>
      <c r="C14" s="12">
        <v>2</v>
      </c>
      <c r="D14" s="14">
        <v>1.6306</v>
      </c>
      <c r="E14" s="17">
        <v>3.26</v>
      </c>
      <c r="F14" s="18" t="s">
        <v>15</v>
      </c>
      <c r="G14" s="19"/>
      <c r="H14" s="19"/>
      <c r="I14" s="19"/>
    </row>
    <row r="15" spans="1:9" x14ac:dyDescent="0.3">
      <c r="A15" s="6" t="s">
        <v>34</v>
      </c>
      <c r="B15" s="9">
        <v>2</v>
      </c>
      <c r="C15" s="12">
        <v>1</v>
      </c>
      <c r="D15" s="14">
        <v>7.9306000000000001</v>
      </c>
      <c r="E15" s="17">
        <v>7.93</v>
      </c>
      <c r="F15" s="18" t="s">
        <v>16</v>
      </c>
      <c r="G15" s="19"/>
      <c r="H15" s="19"/>
      <c r="I15" s="19"/>
    </row>
    <row r="16" spans="1:9" x14ac:dyDescent="0.3">
      <c r="A16" s="6" t="s">
        <v>35</v>
      </c>
      <c r="B16" s="9">
        <v>1</v>
      </c>
      <c r="C16" s="12">
        <v>2</v>
      </c>
      <c r="D16" s="14">
        <v>4.4596999999999998</v>
      </c>
      <c r="E16" s="17">
        <v>8.92</v>
      </c>
      <c r="F16" s="18" t="s">
        <v>17</v>
      </c>
      <c r="G16" s="19"/>
      <c r="H16" s="19"/>
      <c r="I16" s="19"/>
    </row>
    <row r="17" spans="1:9" x14ac:dyDescent="0.3">
      <c r="A17" s="6" t="s">
        <v>36</v>
      </c>
      <c r="B17" s="9">
        <v>2</v>
      </c>
      <c r="C17" s="12">
        <v>10</v>
      </c>
      <c r="D17" s="14">
        <v>0.18279999999999999</v>
      </c>
      <c r="E17" s="17">
        <v>1.83</v>
      </c>
      <c r="F17" s="18" t="s">
        <v>18</v>
      </c>
      <c r="G17" s="19"/>
      <c r="H17" s="19"/>
      <c r="I17" s="19"/>
    </row>
    <row r="18" spans="1:9" x14ac:dyDescent="0.3">
      <c r="A18" s="6" t="s">
        <v>37</v>
      </c>
      <c r="B18" s="9">
        <v>2</v>
      </c>
      <c r="C18" s="12">
        <v>10</v>
      </c>
      <c r="D18" s="14">
        <v>4.9099999999999998E-2</v>
      </c>
      <c r="E18" s="17">
        <v>0.49</v>
      </c>
      <c r="F18" s="18" t="s">
        <v>19</v>
      </c>
      <c r="G18" s="19"/>
      <c r="H18" s="19"/>
      <c r="I18" s="19"/>
    </row>
    <row r="19" spans="1:9" x14ac:dyDescent="0.3">
      <c r="A19" s="6" t="s">
        <v>40</v>
      </c>
      <c r="B19" s="9">
        <v>2</v>
      </c>
      <c r="C19" s="12">
        <v>100</v>
      </c>
      <c r="D19" s="14">
        <v>1.38E-2</v>
      </c>
      <c r="E19" s="17">
        <v>1.38</v>
      </c>
      <c r="F19" s="18" t="s">
        <v>20</v>
      </c>
      <c r="G19" s="19"/>
      <c r="H19" s="19"/>
      <c r="I19" s="19"/>
    </row>
    <row r="20" spans="1:9" x14ac:dyDescent="0.3">
      <c r="A20" s="6" t="s">
        <v>39</v>
      </c>
      <c r="B20" s="9">
        <v>2</v>
      </c>
      <c r="C20" s="11">
        <v>2</v>
      </c>
      <c r="D20" s="13">
        <v>2.79</v>
      </c>
      <c r="E20" s="16">
        <f>2.79*2</f>
        <v>5.58</v>
      </c>
      <c r="F20" s="18" t="s">
        <v>38</v>
      </c>
      <c r="G20" s="19"/>
      <c r="H20" s="19"/>
      <c r="I20" s="19"/>
    </row>
    <row r="21" spans="1:9" x14ac:dyDescent="0.3">
      <c r="A21" s="6" t="s">
        <v>45</v>
      </c>
      <c r="B21" s="9">
        <v>1</v>
      </c>
      <c r="C21" s="11">
        <v>1</v>
      </c>
      <c r="D21" s="15">
        <v>29.24</v>
      </c>
      <c r="E21" s="16">
        <v>29.24</v>
      </c>
      <c r="F21" s="18"/>
      <c r="G21" s="19"/>
      <c r="H21" s="19"/>
      <c r="I21" s="19"/>
    </row>
    <row r="22" spans="1:9" x14ac:dyDescent="0.3">
      <c r="A22" s="7" t="s">
        <v>50</v>
      </c>
      <c r="B22" s="9">
        <v>2</v>
      </c>
      <c r="C22" s="11">
        <v>10</v>
      </c>
      <c r="D22" s="13">
        <v>9.6</v>
      </c>
      <c r="E22" s="16" t="s">
        <v>47</v>
      </c>
      <c r="F22" s="18" t="s">
        <v>46</v>
      </c>
      <c r="G22" s="19"/>
      <c r="H22" s="19"/>
      <c r="I22" s="19"/>
    </row>
    <row r="23" spans="1:9" s="1" customFormat="1" x14ac:dyDescent="0.3">
      <c r="A23" s="8" t="s">
        <v>42</v>
      </c>
      <c r="B23" s="10">
        <v>1</v>
      </c>
      <c r="C23" s="12" t="s">
        <v>43</v>
      </c>
      <c r="D23" s="14" t="s">
        <v>43</v>
      </c>
      <c r="E23" s="17" t="s">
        <v>43</v>
      </c>
      <c r="F23" s="18" t="s">
        <v>44</v>
      </c>
      <c r="G23" s="20"/>
      <c r="H23" s="20"/>
      <c r="I23" s="20"/>
    </row>
    <row r="24" spans="1:9" ht="15" thickBot="1" x14ac:dyDescent="0.35">
      <c r="D24" s="4" t="s">
        <v>51</v>
      </c>
      <c r="E24" s="5">
        <f>SUM(E2:E21)+22.4</f>
        <v>96.12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</dc:creator>
  <cp:lastModifiedBy>parth dhiman</cp:lastModifiedBy>
  <dcterms:created xsi:type="dcterms:W3CDTF">2015-06-05T18:17:20Z</dcterms:created>
  <dcterms:modified xsi:type="dcterms:W3CDTF">2026-04-01T06:14:46Z</dcterms:modified>
</cp:coreProperties>
</file>